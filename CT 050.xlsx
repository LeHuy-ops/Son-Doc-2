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O DIA\HUY\2026\Sang kien 2026\Du lieu cong trinh\WEB TUNG CONG TRINH\CONG SON DOC 2\"/>
    </mc:Choice>
  </mc:AlternateContent>
  <bookViews>
    <workbookView xWindow="0" yWindow="0" windowWidth="20490" windowHeight="7680"/>
  </bookViews>
  <sheets>
    <sheet name="Cống CN1" sheetId="1" r:id="rId1"/>
  </sheets>
  <definedNames>
    <definedName name="_xlnm.Print_Titles" localSheetId="0">'Cống CN1'!#REF!</definedName>
  </definedNames>
  <calcPr calcId="162913"/>
</workbook>
</file>

<file path=xl/calcChain.xml><?xml version="1.0" encoding="utf-8"?>
<calcChain xmlns="http://schemas.openxmlformats.org/spreadsheetml/2006/main">
  <c r="K4" i="1" l="1"/>
  <c r="J4" i="1"/>
</calcChain>
</file>

<file path=xl/sharedStrings.xml><?xml version="1.0" encoding="utf-8"?>
<sst xmlns="http://schemas.openxmlformats.org/spreadsheetml/2006/main" count="31" uniqueCount="31">
  <si>
    <r>
      <rPr>
        <b/>
        <sz val="12"/>
        <rFont val="Times New Roman"/>
        <family val="1"/>
      </rPr>
      <t>TÊN CÔNG TRÌNH</t>
    </r>
  </si>
  <si>
    <r>
      <rPr>
        <b/>
        <sz val="12"/>
        <rFont val="Times New Roman"/>
        <family val="1"/>
      </rPr>
      <t>ĐỊA ĐIỂM</t>
    </r>
  </si>
  <si>
    <r>
      <rPr>
        <b/>
        <sz val="12"/>
        <rFont val="Times New Roman"/>
        <family val="1"/>
      </rPr>
      <t>NĂM XÂY DỰNG</t>
    </r>
  </si>
  <si>
    <t>A. PHẦN CÔNG TRÌNH CỐNG</t>
  </si>
  <si>
    <t>DANH SÁCH CÔNG TRÌNH VÀ PHẠM VI BẢO VỆ CÔNG TRÌNH CHI NHÁNH 1</t>
  </si>
  <si>
    <t>SỐ CỬA</t>
  </si>
  <si>
    <t>MCT</t>
  </si>
  <si>
    <t>TRẠNG THÁI HOẠT ĐỘNG</t>
  </si>
  <si>
    <t>Bình thường</t>
  </si>
  <si>
    <t>NHÂN VIÊN QUẢN LÝ</t>
  </si>
  <si>
    <t>TT</t>
  </si>
  <si>
    <t>KHẨU ĐỘ</t>
  </si>
  <si>
    <t>PHÂN LOẠI CÔNG TRÌNH</t>
  </si>
  <si>
    <t>VÙNG PHỤ CẬN</t>
  </si>
  <si>
    <t>SĐT</t>
  </si>
  <si>
    <t>GOOGLE MAP</t>
  </si>
  <si>
    <t>QR</t>
  </si>
  <si>
    <t>NGÀY KIỂM TRA</t>
  </si>
  <si>
    <t>NỘI DUNG</t>
  </si>
  <si>
    <t>GIỚI THIỆU CÔNG TRÌNH</t>
  </si>
  <si>
    <t>CTCN1-050</t>
  </si>
  <si>
    <t>Cống Sơn Đốc 2</t>
  </si>
  <si>
    <t>Xã Hưng Nhượng, tỉnh Vĩnh Long</t>
  </si>
  <si>
    <t>0837148363</t>
  </si>
  <si>
    <t>6 cửa</t>
  </si>
  <si>
    <t>B = 10m</t>
  </si>
  <si>
    <t xml:space="preserve">- Cống vệ sinh tốt
- Mốc ranh còn đủ: 5/5 trụ
</t>
  </si>
  <si>
    <t>Kiểm tra lần cuối vào ngày 27/2026</t>
  </si>
  <si>
    <t>GIOI THIEU CONG TRINH.pdf</t>
  </si>
  <si>
    <t>Đoàn Văn Phường</t>
  </si>
  <si>
    <t>src="https://www.google.com/maps/embed?pb=!1m17!1m12!1m3!1d2093.944628074404!2d106.45969343887784!3d10.068608523530434!2m3!1f0!2f0!3f0!3m2!1i1024!2i768!4f13.1!3m2!1m1!2zMTDCsDA0JzA2LjMiTiAxMDbCsDI3JzMwLjYiRQ!5e1!3m2!1svi!2s!4v1777617304323!5m2!1svi!2s" width="600" height="450" style="border:0;" allowfullscreen="" loading="lazy" referrerpolicy="no-referrer-when-downgrade"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</si>
</sst>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Times New Roman"/>
      <charset val="204"/>
    </font>
    <font>
      <b/>
      <sz val="12"/>
      <name val="Times New Roman"/>
      <family val="1"/>
    </font>
    <font>
      <sz val="12"/>
      <color rgb="FF000000"/>
      <name val="Times New Roman"/>
      <family val="2"/>
    </font>
    <font>
      <b/>
      <sz val="14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2"/>
    </font>
    <font>
      <b/>
      <sz val="12"/>
      <color rgb="FF000000"/>
      <name val="Times New Roman"/>
      <family val="1"/>
    </font>
    <font>
      <u/>
      <sz val="10"/>
      <color theme="10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top"/>
    </xf>
    <xf numFmtId="1" fontId="4" fillId="0" borderId="1" xfId="0" quotePrefix="1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7" fillId="0" borderId="0" xfId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vertical="top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" fontId="2" fillId="0" borderId="4" xfId="0" applyNumberFormat="1" applyFont="1" applyFill="1" applyBorder="1" applyAlignment="1">
      <alignment horizontal="center" vertical="center" shrinkToFit="1"/>
    </xf>
    <xf numFmtId="1" fontId="4" fillId="0" borderId="1" xfId="0" applyNumberFormat="1" applyFont="1" applyFill="1" applyBorder="1" applyAlignment="1">
      <alignment horizontal="center" vertical="center" wrapText="1" shrinkToFit="1"/>
    </xf>
    <xf numFmtId="0" fontId="0" fillId="0" borderId="1" xfId="0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quotePrefix="1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7" fillId="0" borderId="1" xfId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GIOI%20THIEU%20CONG%20TRINH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topLeftCell="C1" workbookViewId="0">
      <selection activeCell="N4" sqref="N4"/>
    </sheetView>
  </sheetViews>
  <sheetFormatPr defaultRowHeight="15.75" x14ac:dyDescent="0.2"/>
  <cols>
    <col min="1" max="1" width="6.5" style="2" customWidth="1"/>
    <col min="2" max="2" width="17" style="2" customWidth="1"/>
    <col min="3" max="3" width="26.5" style="1" customWidth="1"/>
    <col min="4" max="4" width="13.5" customWidth="1"/>
    <col min="5" max="5" width="31.1640625" customWidth="1"/>
    <col min="6" max="6" width="17.83203125" customWidth="1"/>
    <col min="7" max="7" width="24.33203125" style="1" customWidth="1"/>
    <col min="8" max="8" width="15.83203125" customWidth="1"/>
    <col min="9" max="9" width="20.6640625" customWidth="1"/>
    <col min="10" max="11" width="21.83203125" customWidth="1"/>
    <col min="12" max="13" width="34.33203125" style="8" customWidth="1"/>
    <col min="14" max="14" width="45.33203125" style="8" bestFit="1" customWidth="1"/>
    <col min="15" max="17" width="34.33203125" style="8" customWidth="1"/>
    <col min="18" max="18" width="56.33203125" customWidth="1"/>
  </cols>
  <sheetData>
    <row r="1" spans="1:18" ht="33.75" customHeight="1" x14ac:dyDescent="0.2">
      <c r="A1" s="24" t="s">
        <v>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10"/>
      <c r="P1" s="12"/>
      <c r="Q1" s="12"/>
    </row>
    <row r="2" spans="1:18" ht="36" customHeight="1" x14ac:dyDescent="0.2">
      <c r="A2" s="25" t="s">
        <v>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11"/>
      <c r="P2" s="13"/>
      <c r="Q2" s="13"/>
    </row>
    <row r="3" spans="1:18" ht="54" customHeight="1" x14ac:dyDescent="0.2">
      <c r="A3" s="4" t="s">
        <v>10</v>
      </c>
      <c r="B3" s="4" t="s">
        <v>6</v>
      </c>
      <c r="C3" s="5" t="s">
        <v>0</v>
      </c>
      <c r="D3" s="6" t="s">
        <v>5</v>
      </c>
      <c r="E3" s="4" t="s">
        <v>11</v>
      </c>
      <c r="F3" s="4"/>
      <c r="G3" s="4" t="s">
        <v>1</v>
      </c>
      <c r="H3" s="18" t="s">
        <v>2</v>
      </c>
      <c r="I3" s="7" t="s">
        <v>7</v>
      </c>
      <c r="J3" s="4" t="s">
        <v>12</v>
      </c>
      <c r="K3" s="4" t="s">
        <v>13</v>
      </c>
      <c r="L3" s="7" t="s">
        <v>9</v>
      </c>
      <c r="M3" s="7" t="s">
        <v>14</v>
      </c>
      <c r="N3" s="7" t="s">
        <v>15</v>
      </c>
      <c r="O3" s="7" t="s">
        <v>19</v>
      </c>
      <c r="P3" s="7" t="s">
        <v>17</v>
      </c>
      <c r="Q3" s="7" t="s">
        <v>18</v>
      </c>
      <c r="R3" s="7" t="s">
        <v>16</v>
      </c>
    </row>
    <row r="4" spans="1:18" ht="189" x14ac:dyDescent="0.2">
      <c r="A4" s="3">
        <v>50</v>
      </c>
      <c r="B4" s="3" t="s">
        <v>20</v>
      </c>
      <c r="C4" s="16" t="s">
        <v>21</v>
      </c>
      <c r="D4" s="17" t="s">
        <v>24</v>
      </c>
      <c r="E4" s="17" t="s">
        <v>25</v>
      </c>
      <c r="F4" s="17">
        <v>60</v>
      </c>
      <c r="G4" s="17" t="s">
        <v>22</v>
      </c>
      <c r="H4" s="19">
        <v>2013</v>
      </c>
      <c r="I4" s="3" t="s">
        <v>8</v>
      </c>
      <c r="J4" s="3" t="str">
        <f t="shared" ref="J4" si="0">IF(F4&gt;=20,"Cống lớn",IF(AND(F4&gt;=3,F4&lt;20),"Cống vừa","Cống nhỏ"))</f>
        <v>Cống lớn</v>
      </c>
      <c r="K4" s="3">
        <f t="shared" ref="K4" si="1">IF(F4&gt;=10,50,IF(AND(F4&gt;=5,F4&lt;10),30,IF(AND(F4&gt;=2,F4&lt;5),20,IF(AND(F4&gt;=1,F4&lt;2),10,5))))</f>
        <v>50</v>
      </c>
      <c r="L4" s="20" t="s">
        <v>29</v>
      </c>
      <c r="M4" s="9" t="s">
        <v>23</v>
      </c>
      <c r="N4" s="22" t="s">
        <v>30</v>
      </c>
      <c r="O4" s="26" t="s">
        <v>28</v>
      </c>
      <c r="P4" s="22" t="s">
        <v>27</v>
      </c>
      <c r="Q4" s="23" t="s">
        <v>26</v>
      </c>
      <c r="R4" s="21"/>
    </row>
    <row r="5" spans="1:18" ht="32.1" customHeight="1" x14ac:dyDescent="0.2">
      <c r="N5" s="14"/>
      <c r="O5" s="14"/>
    </row>
    <row r="6" spans="1:18" ht="18.75" x14ac:dyDescent="0.2">
      <c r="N6" s="15"/>
    </row>
    <row r="7" spans="1:18" ht="18.75" x14ac:dyDescent="0.2">
      <c r="N7" s="15"/>
    </row>
  </sheetData>
  <mergeCells count="2">
    <mergeCell ref="A1:N1"/>
    <mergeCell ref="A2:N2"/>
  </mergeCells>
  <hyperlinks>
    <hyperlink ref="O4" r:id="rId1"/>
  </hyperlinks>
  <pageMargins left="0.92" right="0.70866141732283472" top="0.35433070866141736" bottom="0.15748031496062992" header="0.31496062992125984" footer="0.31496062992125984"/>
  <pageSetup paperSize="9" orientation="landscape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Cống CN1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tùng</dc:creator>
  <cp:lastModifiedBy>Administrator</cp:lastModifiedBy>
  <cp:lastPrinted>2026-04-24T06:59:11Z</cp:lastPrinted>
  <dcterms:created xsi:type="dcterms:W3CDTF">2023-10-10T06:05:32Z</dcterms:created>
  <dcterms:modified xsi:type="dcterms:W3CDTF">2026-05-01T06:36:23Z</dcterms:modified>
</cp:coreProperties>
</file>